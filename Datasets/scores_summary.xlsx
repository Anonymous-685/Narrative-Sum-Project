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all" sheetId="1" r:id="rId4"/>
    <sheet state="visible" name="Subtask" sheetId="2" r:id="rId5"/>
    <sheet state="visible" name="Criteria" sheetId="3" r:id="rId6"/>
    <sheet state="visible" name="Level" sheetId="4" r:id="rId7"/>
  </sheets>
  <definedNames/>
  <calcPr/>
  <extLst>
    <ext uri="GoogleSheetsCustomDataVersion2">
      <go:sheetsCustomData xmlns:go="http://customooxmlschemas.google.com/" r:id="rId8" roundtripDataChecksum="K4wkDylr7G1lFnx3nrNqUm5pbq2jl6Jb2lk7SKI4UIg="/>
    </ext>
  </extLst>
</workbook>
</file>

<file path=xl/sharedStrings.xml><?xml version="1.0" encoding="utf-8"?>
<sst xmlns="http://schemas.openxmlformats.org/spreadsheetml/2006/main" count="42" uniqueCount="24">
  <si>
    <t>Overall Average Score per LLM</t>
  </si>
  <si>
    <t>Category</t>
  </si>
  <si>
    <t>Claude-3.7</t>
  </si>
  <si>
    <t>Llama 3.1 8b-instruct</t>
  </si>
  <si>
    <t>Gemini-2.0</t>
  </si>
  <si>
    <t>GPT-5</t>
  </si>
  <si>
    <t>Deepseek-v3</t>
  </si>
  <si>
    <t>Overall Average</t>
  </si>
  <si>
    <t>Average Score per LLM by Subtask</t>
  </si>
  <si>
    <t>Conflict</t>
  </si>
  <si>
    <t>Unique</t>
  </si>
  <si>
    <t>Holistic</t>
  </si>
  <si>
    <t>Overlapping</t>
  </si>
  <si>
    <t>Average Score per LLM by Criteria</t>
  </si>
  <si>
    <t>Relevance</t>
  </si>
  <si>
    <t>Accuracy/Consistency</t>
  </si>
  <si>
    <t>Coherence</t>
  </si>
  <si>
    <t>Fluency</t>
  </si>
  <si>
    <t>Specialty</t>
  </si>
  <si>
    <t>Average Score per LLM by Level</t>
  </si>
  <si>
    <t>Level 1</t>
  </si>
  <si>
    <t>Level 2</t>
  </si>
  <si>
    <t>Level 3</t>
  </si>
  <si>
    <t>Level 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</si>
</sst>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3.0"/>
      <color rgb="FF1F4E79"/>
      <name val="Arial"/>
    </font>
    <font>
      <b/>
      <sz val="11.0"/>
      <color rgb="FFFFFFFF"/>
      <name val="Arial"/>
    </font>
    <font>
      <b/>
      <sz val="10.0"/>
      <color theme="1"/>
      <name val="Arial"/>
    </font>
    <font>
      <sz val="10.0"/>
      <color theme="1"/>
      <name val="Arial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2" numFmtId="0" xfId="0" applyAlignment="1" applyBorder="1" applyFill="1" applyFont="1">
      <alignment horizontal="center" vertical="center"/>
    </xf>
    <xf borderId="1" fillId="0" fontId="3" numFmtId="0" xfId="0" applyAlignment="1" applyBorder="1" applyFont="1">
      <alignment horizontal="left" vertical="center"/>
    </xf>
    <xf borderId="1" fillId="0" fontId="4" numFmtId="0" xfId="0" applyAlignment="1" applyBorder="1" applyFont="1">
      <alignment horizontal="center" vertical="center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6" width="22.0"/>
    <col customWidth="1" min="7" max="26" width="8.71"/>
  </cols>
  <sheetData>
    <row r="1" ht="25.5" customHeight="1">
      <c r="A1" s="1" t="s">
        <v>0</v>
      </c>
    </row>
    <row r="2" ht="18.0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>
      <c r="A3" s="3" t="s">
        <v>7</v>
      </c>
      <c r="B3" s="4">
        <v>3.13</v>
      </c>
      <c r="C3" s="4">
        <v>3.13</v>
      </c>
      <c r="D3" s="4">
        <v>3.61</v>
      </c>
      <c r="E3" s="4">
        <v>3.95</v>
      </c>
      <c r="F3" s="4">
        <v>4.07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6" width="22.0"/>
    <col customWidth="1" min="7" max="26" width="8.71"/>
  </cols>
  <sheetData>
    <row r="1" ht="25.5" customHeight="1">
      <c r="A1" s="1" t="s">
        <v>8</v>
      </c>
    </row>
    <row r="2" ht="18.0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>
      <c r="A3" s="3" t="s">
        <v>9</v>
      </c>
      <c r="B3" s="4">
        <v>3.47</v>
      </c>
      <c r="C3" s="4">
        <v>3.16</v>
      </c>
      <c r="D3" s="4">
        <v>4.01</v>
      </c>
      <c r="E3" s="4">
        <v>4.15</v>
      </c>
      <c r="F3" s="4">
        <v>4.02</v>
      </c>
      <c r="G3" s="5">
        <f t="shared" ref="G3:G6" si="1">AVERAGE(B3:F3)</f>
        <v>3.762</v>
      </c>
    </row>
    <row r="4">
      <c r="A4" s="3" t="s">
        <v>10</v>
      </c>
      <c r="B4" s="4">
        <v>2.98</v>
      </c>
      <c r="C4" s="4">
        <v>3.1</v>
      </c>
      <c r="D4" s="4">
        <v>3.47</v>
      </c>
      <c r="E4" s="4">
        <v>3.85</v>
      </c>
      <c r="F4" s="4">
        <v>4.06</v>
      </c>
      <c r="G4" s="5">
        <f t="shared" si="1"/>
        <v>3.492</v>
      </c>
    </row>
    <row r="5">
      <c r="A5" s="3" t="s">
        <v>11</v>
      </c>
      <c r="B5" s="4">
        <v>3.04</v>
      </c>
      <c r="C5" s="4">
        <v>3.14</v>
      </c>
      <c r="D5" s="4">
        <v>3.49</v>
      </c>
      <c r="E5" s="4">
        <v>3.88</v>
      </c>
      <c r="F5" s="4">
        <v>4.08</v>
      </c>
      <c r="G5" s="5">
        <f t="shared" si="1"/>
        <v>3.526</v>
      </c>
    </row>
    <row r="6">
      <c r="A6" s="3" t="s">
        <v>12</v>
      </c>
      <c r="B6" s="4">
        <v>2.98</v>
      </c>
      <c r="C6" s="4">
        <v>3.11</v>
      </c>
      <c r="D6" s="4">
        <v>3.45</v>
      </c>
      <c r="E6" s="4">
        <v>3.88</v>
      </c>
      <c r="F6" s="4">
        <v>4.11</v>
      </c>
      <c r="G6" s="5">
        <f t="shared" si="1"/>
        <v>3.506</v>
      </c>
    </row>
    <row r="7">
      <c r="B7" s="5">
        <f t="shared" ref="B7:F7" si="2">AVERAGE(B2:B6)</f>
        <v>3.1175</v>
      </c>
      <c r="C7" s="5">
        <f t="shared" si="2"/>
        <v>3.1275</v>
      </c>
      <c r="D7" s="5">
        <f t="shared" si="2"/>
        <v>3.605</v>
      </c>
      <c r="E7" s="5">
        <f t="shared" si="2"/>
        <v>3.94</v>
      </c>
      <c r="F7" s="5">
        <f t="shared" si="2"/>
        <v>4.0675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6" width="22.0"/>
    <col customWidth="1" min="7" max="26" width="8.71"/>
  </cols>
  <sheetData>
    <row r="1" ht="25.5" customHeight="1">
      <c r="A1" s="1" t="s">
        <v>13</v>
      </c>
    </row>
    <row r="2" ht="18.0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>
      <c r="A3" s="3" t="s">
        <v>14</v>
      </c>
      <c r="B3" s="4">
        <v>3.17</v>
      </c>
      <c r="C3" s="4">
        <v>3.2</v>
      </c>
      <c r="D3" s="4">
        <v>3.61</v>
      </c>
      <c r="E3" s="4">
        <v>3.96</v>
      </c>
      <c r="F3" s="4">
        <v>4.1</v>
      </c>
      <c r="G3" s="5">
        <f t="shared" ref="G3:G7" si="1">AVERAGE(B3:F3)</f>
        <v>3.608</v>
      </c>
    </row>
    <row r="4">
      <c r="A4" s="3" t="s">
        <v>15</v>
      </c>
      <c r="B4" s="4">
        <v>3.15</v>
      </c>
      <c r="C4" s="4">
        <v>3.18</v>
      </c>
      <c r="D4" s="4">
        <v>3.66</v>
      </c>
      <c r="E4" s="4">
        <v>3.98</v>
      </c>
      <c r="F4" s="4">
        <v>4.16</v>
      </c>
      <c r="G4" s="5">
        <f t="shared" si="1"/>
        <v>3.626</v>
      </c>
    </row>
    <row r="5">
      <c r="A5" s="3" t="s">
        <v>16</v>
      </c>
      <c r="B5" s="4">
        <v>3.12</v>
      </c>
      <c r="C5" s="4">
        <v>3.11</v>
      </c>
      <c r="D5" s="4">
        <v>3.62</v>
      </c>
      <c r="E5" s="4">
        <v>3.97</v>
      </c>
      <c r="F5" s="4">
        <v>4.03</v>
      </c>
      <c r="G5" s="5">
        <f t="shared" si="1"/>
        <v>3.57</v>
      </c>
    </row>
    <row r="6">
      <c r="A6" s="3" t="s">
        <v>17</v>
      </c>
      <c r="B6" s="4">
        <v>3.12</v>
      </c>
      <c r="C6" s="4">
        <v>3.02</v>
      </c>
      <c r="D6" s="4">
        <v>3.61</v>
      </c>
      <c r="E6" s="4">
        <v>3.95</v>
      </c>
      <c r="F6" s="4">
        <v>4.02</v>
      </c>
      <c r="G6" s="5">
        <f t="shared" si="1"/>
        <v>3.544</v>
      </c>
    </row>
    <row r="7">
      <c r="A7" s="3" t="s">
        <v>18</v>
      </c>
      <c r="B7" s="4">
        <v>3.07</v>
      </c>
      <c r="C7" s="4">
        <v>3.14</v>
      </c>
      <c r="D7" s="4">
        <v>3.56</v>
      </c>
      <c r="E7" s="4">
        <v>3.86</v>
      </c>
      <c r="F7" s="4">
        <v>4.03</v>
      </c>
      <c r="G7" s="5">
        <f t="shared" si="1"/>
        <v>3.532</v>
      </c>
    </row>
    <row r="8">
      <c r="B8" s="5">
        <f t="shared" ref="B8:F8" si="2">AVERAGE(B2:B7)</f>
        <v>3.126</v>
      </c>
      <c r="C8" s="5">
        <f t="shared" si="2"/>
        <v>3.13</v>
      </c>
      <c r="D8" s="5">
        <f t="shared" si="2"/>
        <v>3.612</v>
      </c>
      <c r="E8" s="5">
        <f t="shared" si="2"/>
        <v>3.944</v>
      </c>
      <c r="F8" s="5">
        <f t="shared" si="2"/>
        <v>4.068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6" width="22.0"/>
    <col customWidth="1" min="7" max="26" width="8.71"/>
  </cols>
  <sheetData>
    <row r="1" ht="25.5" customHeight="1">
      <c r="A1" s="1" t="s">
        <v>19</v>
      </c>
    </row>
    <row r="2" ht="18.0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>
      <c r="A3" s="3" t="s">
        <v>20</v>
      </c>
      <c r="B3" s="4">
        <v>3.07</v>
      </c>
      <c r="C3" s="4">
        <v>3.1</v>
      </c>
      <c r="D3" s="4">
        <v>3.57</v>
      </c>
      <c r="E3" s="4">
        <v>3.92</v>
      </c>
      <c r="F3" s="4">
        <v>4.11</v>
      </c>
      <c r="G3" s="5">
        <f t="shared" ref="G3:G6" si="1">AVERAGE(B3:F3)</f>
        <v>3.554</v>
      </c>
    </row>
    <row r="4">
      <c r="A4" s="3" t="s">
        <v>21</v>
      </c>
      <c r="B4" s="4">
        <v>3.09</v>
      </c>
      <c r="C4" s="4">
        <v>3.1</v>
      </c>
      <c r="D4" s="4">
        <v>3.58</v>
      </c>
      <c r="E4" s="4">
        <v>3.93</v>
      </c>
      <c r="F4" s="4">
        <v>4.04</v>
      </c>
      <c r="G4" s="5">
        <f t="shared" si="1"/>
        <v>3.548</v>
      </c>
    </row>
    <row r="5">
      <c r="A5" s="3" t="s">
        <v>22</v>
      </c>
      <c r="B5" s="4">
        <v>3.15</v>
      </c>
      <c r="C5" s="4">
        <v>3.14</v>
      </c>
      <c r="D5" s="4">
        <v>3.64</v>
      </c>
      <c r="E5" s="4">
        <v>3.94</v>
      </c>
      <c r="F5" s="4">
        <v>4.05</v>
      </c>
      <c r="G5" s="5">
        <f t="shared" si="1"/>
        <v>3.584</v>
      </c>
    </row>
    <row r="6">
      <c r="A6" s="3" t="s">
        <v>23</v>
      </c>
      <c r="B6" s="4">
        <v>3.2</v>
      </c>
      <c r="C6" s="4">
        <v>3.17</v>
      </c>
      <c r="D6" s="4">
        <v>3.67</v>
      </c>
      <c r="E6" s="4">
        <v>3.99</v>
      </c>
      <c r="F6" s="4">
        <v>4.07</v>
      </c>
      <c r="G6" s="5">
        <f t="shared" si="1"/>
        <v>3.62</v>
      </c>
    </row>
    <row r="7">
      <c r="B7" s="5">
        <f t="shared" ref="B7:F7" si="2">AVERAGE(B2:B6)</f>
        <v>3.1275</v>
      </c>
      <c r="C7" s="5">
        <f t="shared" si="2"/>
        <v>3.1275</v>
      </c>
      <c r="D7" s="5">
        <f t="shared" si="2"/>
        <v>3.615</v>
      </c>
      <c r="E7" s="5">
        <f t="shared" si="2"/>
        <v>3.945</v>
      </c>
      <c r="F7" s="5">
        <f t="shared" si="2"/>
        <v>4.0675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2026-03-16T22:19:57Z</dcterms:created>
  <dc:creator>openpyxl</dc:creator>
</cp:coreProperties>
</file>